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e44f735b3e9761b3/Documents/Data Analytics/Excel/"/>
    </mc:Choice>
  </mc:AlternateContent>
  <xr:revisionPtr revIDLastSave="0" documentId="8_{5432446E-066C-46FD-8DCA-F14D8DE6BD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ales Data" sheetId="1" r:id="rId2"/>
  </sheets>
  <calcPr calcId="191028"/>
  <pivotCaches>
    <pivotCache cacheId="24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M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" i="1"/>
  <c r="H2" i="1" a="1"/>
  <c r="H2" i="1" s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<sst xmlns="http://schemas.openxmlformats.org/spreadsheetml/2006/main" count="276" uniqueCount="66">
  <si>
    <t>Sum of Revenue</t>
  </si>
  <si>
    <t>Category</t>
  </si>
  <si>
    <t>Salesperson</t>
  </si>
  <si>
    <t>Accessories</t>
  </si>
  <si>
    <t>Electronics</t>
  </si>
  <si>
    <t>Furniture</t>
  </si>
  <si>
    <t>Stationery</t>
  </si>
  <si>
    <t>Grand Total</t>
  </si>
  <si>
    <t>Arun</t>
  </si>
  <si>
    <t>Divya</t>
  </si>
  <si>
    <t>Karthik</t>
  </si>
  <si>
    <t>Priya</t>
  </si>
  <si>
    <t>Suresh</t>
  </si>
  <si>
    <t>Date</t>
  </si>
  <si>
    <t>Product</t>
  </si>
  <si>
    <t>Region</t>
  </si>
  <si>
    <t>Units Sold</t>
  </si>
  <si>
    <t>Price (Rs)</t>
  </si>
  <si>
    <t>Revenue</t>
  </si>
  <si>
    <t>sum</t>
  </si>
  <si>
    <t>Performance</t>
  </si>
  <si>
    <t>Chennai Revenue</t>
  </si>
  <si>
    <t>Arun count</t>
  </si>
  <si>
    <t>04-05-2026</t>
  </si>
  <si>
    <t>Bookshelf</t>
  </si>
  <si>
    <t>Delhi</t>
  </si>
  <si>
    <t>Keyboard</t>
  </si>
  <si>
    <t>Bangalore</t>
  </si>
  <si>
    <t>04-06-2026</t>
  </si>
  <si>
    <t>Kolkata</t>
  </si>
  <si>
    <t>Laptop</t>
  </si>
  <si>
    <t>05-05-2026</t>
  </si>
  <si>
    <t>Pen Set</t>
  </si>
  <si>
    <t>Mumbai</t>
  </si>
  <si>
    <t>05-06-2026</t>
  </si>
  <si>
    <t>Monitor</t>
  </si>
  <si>
    <t>06-05-2026</t>
  </si>
  <si>
    <t>Chennai</t>
  </si>
  <si>
    <t>Notebook</t>
  </si>
  <si>
    <t>06-06-2026</t>
  </si>
  <si>
    <t>07-05-2026</t>
  </si>
  <si>
    <t>Chair</t>
  </si>
  <si>
    <t>07-06-2026</t>
  </si>
  <si>
    <t>08-05-2026</t>
  </si>
  <si>
    <t>08-06-2026</t>
  </si>
  <si>
    <t>Desk</t>
  </si>
  <si>
    <t>09-05-2026</t>
  </si>
  <si>
    <t>10-05-2026</t>
  </si>
  <si>
    <t>10-06-2026</t>
  </si>
  <si>
    <t>Mouse</t>
  </si>
  <si>
    <t>11-05-2026</t>
  </si>
  <si>
    <t>12-06-2026</t>
  </si>
  <si>
    <t>13-05-2026</t>
  </si>
  <si>
    <t>14-05-2026</t>
  </si>
  <si>
    <t>15-05-2026</t>
  </si>
  <si>
    <t>15-06-2026</t>
  </si>
  <si>
    <t>16-05-2026</t>
  </si>
  <si>
    <t>17-05-2026</t>
  </si>
  <si>
    <t>Backpack</t>
  </si>
  <si>
    <t>18-05-2026</t>
  </si>
  <si>
    <t>20-05-2026</t>
  </si>
  <si>
    <t>23-05-2026</t>
  </si>
  <si>
    <t>24-05-2026</t>
  </si>
  <si>
    <t>26-05-2026</t>
  </si>
  <si>
    <t>30-05-2026</t>
  </si>
  <si>
    <t>31-05-2026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</si>
</sst>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[Sales_Analysis_Day1_Subash.xlsx1.xlsx]Sheet1!PivotTable1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Salesperson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Arun</c:v>
                </c:pt>
                <c:pt idx="1">
                  <c:v>Divya</c:v>
                </c:pt>
                <c:pt idx="2">
                  <c:v>Karthik</c:v>
                </c:pt>
                <c:pt idx="3">
                  <c:v>Priya</c:v>
                </c:pt>
                <c:pt idx="4">
                  <c:v>Suresh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2">
                  <c:v>24700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3-4AF6-A3DA-5552296ABEE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Arun</c:v>
                </c:pt>
                <c:pt idx="1">
                  <c:v>Divya</c:v>
                </c:pt>
                <c:pt idx="2">
                  <c:v>Karthik</c:v>
                </c:pt>
                <c:pt idx="3">
                  <c:v>Priya</c:v>
                </c:pt>
                <c:pt idx="4">
                  <c:v>Suresh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272300</c:v>
                </c:pt>
                <c:pt idx="1">
                  <c:v>83400</c:v>
                </c:pt>
                <c:pt idx="2">
                  <c:v>1193400</c:v>
                </c:pt>
                <c:pt idx="3">
                  <c:v>923400</c:v>
                </c:pt>
                <c:pt idx="4">
                  <c:v>1100200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F3-4AF6-A3DA-5552296ABEE2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Arun</c:v>
                </c:pt>
                <c:pt idx="1">
                  <c:v>Divya</c:v>
                </c:pt>
                <c:pt idx="2">
                  <c:v>Karthik</c:v>
                </c:pt>
                <c:pt idx="3">
                  <c:v>Priya</c:v>
                </c:pt>
                <c:pt idx="4">
                  <c:v>Suresh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5"/>
                <c:pt idx="0">
                  <c:v>186900</c:v>
                </c:pt>
                <c:pt idx="1">
                  <c:v>238300</c:v>
                </c:pt>
                <c:pt idx="2">
                  <c:v>166700</c:v>
                </c:pt>
                <c:pt idx="3">
                  <c:v>169700</c:v>
                </c:pt>
                <c:pt idx="4">
                  <c:v>208000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F3-4AF6-A3DA-5552296ABEE2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Stationery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Arun</c:v>
                </c:pt>
                <c:pt idx="1">
                  <c:v>Divya</c:v>
                </c:pt>
                <c:pt idx="2">
                  <c:v>Karthik</c:v>
                </c:pt>
                <c:pt idx="3">
                  <c:v>Priya</c:v>
                </c:pt>
                <c:pt idx="4">
                  <c:v>Suresh</c:v>
                </c:pt>
              </c:strCache>
            </c:strRef>
          </c:cat>
          <c:val>
            <c:numRef>
              <c:f>Sheet1!$E$5:$E$10</c:f>
              <c:numCache>
                <c:formatCode>General</c:formatCode>
                <c:ptCount val="5"/>
                <c:pt idx="1">
                  <c:v>24550</c:v>
                </c:pt>
                <c:pt idx="2">
                  <c:v>13650</c:v>
                </c:pt>
                <c:pt idx="4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F3-4AF6-A3DA-5552296A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988999"/>
        <c:axId val="1714946056"/>
      </c:barChart>
      <c:catAx>
        <c:axId val="74798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946056"/>
        <c:crosses val="autoZero"/>
        <c:auto val="1"/>
        <c:lblAlgn val="ctr"/>
        <c:lblOffset val="100"/>
        <c:noMultiLvlLbl val="0"/>
      </c:catAx>
      <c:valAx>
        <c:axId val="171494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98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2</xdr:row>
      <xdr:rowOff>28575</xdr:rowOff>
    </xdr:from>
    <xdr:to>
      <xdr:col>14</xdr:col>
      <xdr:colOff>533400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50DA0-C2E9-DD36-2961-6ED8857AF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1.626452430559" createdVersion="8" refreshedVersion="8" minRefreshableVersion="3" recordCount="50" xr:uid="{5D8349D5-3B24-486B-9289-27B518B42255}">
  <cacheSource type="worksheet">
    <worksheetSource ref="A1:N51" sheet="Sales Data"/>
  </cacheSource>
  <cacheFields count="14">
    <cacheField name="Date" numFmtId="0">
      <sharedItems/>
    </cacheField>
    <cacheField name="Product" numFmtId="0">
      <sharedItems/>
    </cacheField>
    <cacheField name="Category" numFmtId="0">
      <sharedItems count="4">
        <s v="Furniture"/>
        <s v="Electronics"/>
        <s v="Stationery"/>
        <s v="Accessories"/>
      </sharedItems>
    </cacheField>
    <cacheField name="Region" numFmtId="0">
      <sharedItems count="5">
        <s v="Delhi"/>
        <s v="Bangalore"/>
        <s v="Kolkata"/>
        <s v="Mumbai"/>
        <s v="Chennai"/>
      </sharedItems>
    </cacheField>
    <cacheField name="Units Sold" numFmtId="0">
      <sharedItems containsSemiMixedTypes="0" containsString="0" containsNumber="1" containsInteger="1" minValue="1" maxValue="25"/>
    </cacheField>
    <cacheField name="Price (Rs)" numFmtId="0">
      <sharedItems containsSemiMixedTypes="0" containsString="0" containsNumber="1" containsInteger="1" minValue="-50" maxValue="45200"/>
    </cacheField>
    <cacheField name="Salesperson" numFmtId="0">
      <sharedItems count="5">
        <s v="Divya"/>
        <s v="Karthik"/>
        <s v="Suresh"/>
        <s v="Arun"/>
        <s v="Priya"/>
      </sharedItems>
    </cacheField>
    <cacheField name="Revenue" numFmtId="0">
      <sharedItems containsSemiMixedTypes="0" containsString="0" containsNumber="1" containsInteger="1" minValue="-1100" maxValue="1039600"/>
    </cacheField>
    <cacheField name="Field9" caption="Field9" numFmtId="0">
      <sharedItems containsNonDate="0" containsString="0" containsBlank="1"/>
    </cacheField>
    <cacheField name="sum" numFmtId="0">
      <sharedItems containsString="0" containsBlank="1" containsNumber="1" containsInteger="1" minValue="4607950" maxValue="4607950"/>
    </cacheField>
    <cacheField name="Field11" caption="Field11" numFmtId="0">
      <sharedItems containsNonDate="0" containsString="0" containsBlank="1"/>
    </cacheField>
    <cacheField name="Performance" numFmtId="0">
      <sharedItems containsBlank="1" count="3">
        <s v="Low"/>
        <s v="High"/>
        <m/>
      </sharedItems>
    </cacheField>
    <cacheField name="Chennai Revenue" numFmtId="0">
      <sharedItems containsString="0" containsBlank="1" containsNumber="1" containsInteger="1" minValue="639050" maxValue="639050"/>
    </cacheField>
    <cacheField name="Arun count" numFmtId="0">
      <sharedItems containsString="0" containsBlank="1" containsNumber="1" containsInteger="1" minValue="8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04-05-2026"/>
    <s v="Bookshelf"/>
    <x v="0"/>
    <x v="0"/>
    <n v="4"/>
    <n v="4500"/>
    <x v="0"/>
    <n v="18000"/>
    <m/>
    <n v="4607950"/>
    <m/>
    <x v="0"/>
    <m/>
    <m/>
  </r>
  <r>
    <s v="04-05-2026"/>
    <s v="Keyboard"/>
    <x v="1"/>
    <x v="1"/>
    <n v="1"/>
    <n v="1400"/>
    <x v="1"/>
    <n v="1400"/>
    <m/>
    <m/>
    <m/>
    <x v="0"/>
    <m/>
    <m/>
  </r>
  <r>
    <s v="04-06-2026"/>
    <s v="Keyboard"/>
    <x v="1"/>
    <x v="2"/>
    <n v="19"/>
    <n v="1400"/>
    <x v="0"/>
    <n v="26600"/>
    <m/>
    <m/>
    <m/>
    <x v="0"/>
    <n v="639050"/>
    <n v="8"/>
  </r>
  <r>
    <s v="04-06-2026"/>
    <s v="Laptop"/>
    <x v="1"/>
    <x v="0"/>
    <n v="2"/>
    <n v="44800"/>
    <x v="2"/>
    <n v="89600"/>
    <m/>
    <m/>
    <m/>
    <x v="1"/>
    <m/>
    <m/>
  </r>
  <r>
    <s v="05-05-2026"/>
    <s v="Bookshelf"/>
    <x v="0"/>
    <x v="1"/>
    <n v="20"/>
    <n v="4700"/>
    <x v="2"/>
    <n v="94000"/>
    <m/>
    <m/>
    <m/>
    <x v="1"/>
    <m/>
    <m/>
  </r>
  <r>
    <s v="05-05-2026"/>
    <s v="Pen Set"/>
    <x v="2"/>
    <x v="3"/>
    <n v="9"/>
    <n v="350"/>
    <x v="0"/>
    <n v="3150"/>
    <m/>
    <m/>
    <m/>
    <x v="0"/>
    <m/>
    <m/>
  </r>
  <r>
    <s v="05-06-2026"/>
    <s v="Monitor"/>
    <x v="1"/>
    <x v="2"/>
    <n v="8"/>
    <n v="8800"/>
    <x v="3"/>
    <n v="70400"/>
    <m/>
    <m/>
    <m/>
    <x v="1"/>
    <m/>
    <m/>
  </r>
  <r>
    <s v="06-05-2026"/>
    <s v="Bookshelf"/>
    <x v="0"/>
    <x v="4"/>
    <n v="12"/>
    <n v="4500"/>
    <x v="2"/>
    <n v="54000"/>
    <m/>
    <m/>
    <m/>
    <x v="1"/>
    <m/>
    <m/>
  </r>
  <r>
    <s v="06-05-2026"/>
    <s v="Pen Set"/>
    <x v="2"/>
    <x v="0"/>
    <n v="21"/>
    <n v="650"/>
    <x v="1"/>
    <n v="13650"/>
    <m/>
    <m/>
    <m/>
    <x v="0"/>
    <m/>
    <m/>
  </r>
  <r>
    <s v="06-05-2026"/>
    <s v="Monitor"/>
    <x v="1"/>
    <x v="4"/>
    <n v="13"/>
    <n v="9000"/>
    <x v="4"/>
    <n v="117000"/>
    <m/>
    <m/>
    <m/>
    <x v="1"/>
    <m/>
    <m/>
  </r>
  <r>
    <s v="06-05-2026"/>
    <s v="Notebook"/>
    <x v="2"/>
    <x v="4"/>
    <n v="25"/>
    <n v="550"/>
    <x v="0"/>
    <n v="13750"/>
    <m/>
    <m/>
    <m/>
    <x v="0"/>
    <m/>
    <m/>
  </r>
  <r>
    <s v="06-06-2026"/>
    <s v="Monitor"/>
    <x v="1"/>
    <x v="4"/>
    <n v="2"/>
    <n v="9000"/>
    <x v="1"/>
    <n v="18000"/>
    <m/>
    <m/>
    <m/>
    <x v="0"/>
    <m/>
    <m/>
  </r>
  <r>
    <s v="07-05-2026"/>
    <s v="Chair"/>
    <x v="0"/>
    <x v="2"/>
    <n v="20"/>
    <n v="3000"/>
    <x v="0"/>
    <n v="60000"/>
    <m/>
    <m/>
    <m/>
    <x v="1"/>
    <m/>
    <m/>
  </r>
  <r>
    <s v="07-05-2026"/>
    <s v="Laptop"/>
    <x v="1"/>
    <x v="2"/>
    <n v="1"/>
    <n v="44800"/>
    <x v="0"/>
    <n v="44800"/>
    <m/>
    <m/>
    <m/>
    <x v="0"/>
    <m/>
    <m/>
  </r>
  <r>
    <s v="07-06-2026"/>
    <s v="Bookshelf"/>
    <x v="0"/>
    <x v="4"/>
    <n v="1"/>
    <n v="4300"/>
    <x v="0"/>
    <n v="4300"/>
    <m/>
    <m/>
    <m/>
    <x v="0"/>
    <m/>
    <m/>
  </r>
  <r>
    <s v="08-05-2026"/>
    <s v="Keyboard"/>
    <x v="1"/>
    <x v="3"/>
    <n v="22"/>
    <n v="1400"/>
    <x v="2"/>
    <n v="30800"/>
    <m/>
    <m/>
    <m/>
    <x v="0"/>
    <m/>
    <m/>
  </r>
  <r>
    <s v="08-06-2026"/>
    <s v="Desk"/>
    <x v="0"/>
    <x v="1"/>
    <n v="1"/>
    <n v="6800"/>
    <x v="1"/>
    <n v="6800"/>
    <m/>
    <m/>
    <m/>
    <x v="0"/>
    <m/>
    <m/>
  </r>
  <r>
    <s v="08-06-2026"/>
    <s v="Bookshelf"/>
    <x v="0"/>
    <x v="3"/>
    <n v="18"/>
    <n v="4500"/>
    <x v="1"/>
    <n v="81000"/>
    <m/>
    <m/>
    <m/>
    <x v="1"/>
    <m/>
    <m/>
  </r>
  <r>
    <s v="09-05-2026"/>
    <s v="Notebook"/>
    <x v="2"/>
    <x v="2"/>
    <n v="6"/>
    <n v="50"/>
    <x v="2"/>
    <n v="300"/>
    <m/>
    <m/>
    <m/>
    <x v="0"/>
    <m/>
    <m/>
  </r>
  <r>
    <s v="10-05-2026"/>
    <s v="Monitor"/>
    <x v="1"/>
    <x v="0"/>
    <n v="7"/>
    <n v="8800"/>
    <x v="2"/>
    <n v="61600"/>
    <m/>
    <m/>
    <m/>
    <x v="1"/>
    <m/>
    <m/>
  </r>
  <r>
    <s v="10-06-2026"/>
    <s v="Mouse"/>
    <x v="1"/>
    <x v="4"/>
    <n v="24"/>
    <n v="500"/>
    <x v="0"/>
    <n v="12000"/>
    <m/>
    <m/>
    <m/>
    <x v="0"/>
    <m/>
    <m/>
  </r>
  <r>
    <s v="10-06-2026"/>
    <s v="Desk"/>
    <x v="0"/>
    <x v="3"/>
    <n v="12"/>
    <n v="7000"/>
    <x v="0"/>
    <n v="84000"/>
    <m/>
    <m/>
    <m/>
    <x v="1"/>
    <m/>
    <m/>
  </r>
  <r>
    <s v="11-05-2026"/>
    <s v="Bookshelf"/>
    <x v="0"/>
    <x v="1"/>
    <n v="16"/>
    <n v="4500"/>
    <x v="4"/>
    <n v="72000"/>
    <m/>
    <m/>
    <m/>
    <x v="1"/>
    <m/>
    <m/>
  </r>
  <r>
    <s v="12-06-2026"/>
    <s v="Chair"/>
    <x v="0"/>
    <x v="4"/>
    <n v="20"/>
    <n v="3000"/>
    <x v="2"/>
    <n v="60000"/>
    <m/>
    <m/>
    <m/>
    <x v="1"/>
    <m/>
    <m/>
  </r>
  <r>
    <s v="13-05-2026"/>
    <s v="Pen Set"/>
    <x v="2"/>
    <x v="1"/>
    <n v="5"/>
    <n v="350"/>
    <x v="0"/>
    <n v="1750"/>
    <m/>
    <m/>
    <m/>
    <x v="0"/>
    <m/>
    <m/>
  </r>
  <r>
    <s v="14-05-2026"/>
    <s v="Notebook"/>
    <x v="2"/>
    <x v="1"/>
    <n v="21"/>
    <n v="250"/>
    <x v="0"/>
    <n v="5250"/>
    <m/>
    <m/>
    <m/>
    <x v="0"/>
    <m/>
    <m/>
  </r>
  <r>
    <s v="15-05-2026"/>
    <s v="Keyboard"/>
    <x v="1"/>
    <x v="4"/>
    <n v="22"/>
    <n v="1700"/>
    <x v="3"/>
    <n v="37400"/>
    <m/>
    <m/>
    <m/>
    <x v="0"/>
    <m/>
    <m/>
  </r>
  <r>
    <s v="15-05-2026"/>
    <s v="Pen Set"/>
    <x v="2"/>
    <x v="2"/>
    <n v="1"/>
    <n v="650"/>
    <x v="0"/>
    <n v="650"/>
    <m/>
    <m/>
    <m/>
    <x v="0"/>
    <m/>
    <m/>
  </r>
  <r>
    <s v="15-05-2026"/>
    <s v="Desk"/>
    <x v="0"/>
    <x v="4"/>
    <n v="8"/>
    <n v="6800"/>
    <x v="1"/>
    <n v="54400"/>
    <m/>
    <m/>
    <m/>
    <x v="1"/>
    <m/>
    <m/>
  </r>
  <r>
    <s v="15-05-2026"/>
    <s v="Keyboard"/>
    <x v="1"/>
    <x v="2"/>
    <n v="16"/>
    <n v="1000"/>
    <x v="3"/>
    <n v="16000"/>
    <m/>
    <m/>
    <m/>
    <x v="0"/>
    <m/>
    <m/>
  </r>
  <r>
    <s v="15-06-2026"/>
    <s v="Pen Set"/>
    <x v="2"/>
    <x v="1"/>
    <n v="8"/>
    <n v="350"/>
    <x v="2"/>
    <n v="2800"/>
    <m/>
    <m/>
    <m/>
    <x v="0"/>
    <m/>
    <m/>
  </r>
  <r>
    <s v="15-06-2026"/>
    <s v="Laptop"/>
    <x v="1"/>
    <x v="3"/>
    <n v="3"/>
    <n v="44800"/>
    <x v="1"/>
    <n v="134400"/>
    <m/>
    <m/>
    <m/>
    <x v="1"/>
    <m/>
    <m/>
  </r>
  <r>
    <s v="16-05-2026"/>
    <s v="Keyboard"/>
    <x v="1"/>
    <x v="1"/>
    <n v="13"/>
    <n v="1200"/>
    <x v="2"/>
    <n v="15600"/>
    <m/>
    <m/>
    <m/>
    <x v="0"/>
    <m/>
    <m/>
  </r>
  <r>
    <s v="16-05-2026"/>
    <s v="Monitor"/>
    <x v="1"/>
    <x v="4"/>
    <n v="11"/>
    <n v="8800"/>
    <x v="2"/>
    <n v="96800"/>
    <m/>
    <m/>
    <m/>
    <x v="1"/>
    <m/>
    <m/>
  </r>
  <r>
    <s v="17-05-2026"/>
    <s v="Laptop"/>
    <x v="1"/>
    <x v="1"/>
    <n v="18"/>
    <n v="44800"/>
    <x v="4"/>
    <n v="806400"/>
    <m/>
    <m/>
    <m/>
    <x v="1"/>
    <m/>
    <m/>
  </r>
  <r>
    <s v="17-05-2026"/>
    <s v="Keyboard"/>
    <x v="1"/>
    <x v="3"/>
    <n v="24"/>
    <n v="1700"/>
    <x v="2"/>
    <n v="40800"/>
    <m/>
    <m/>
    <m/>
    <x v="0"/>
    <m/>
    <m/>
  </r>
  <r>
    <s v="17-05-2026"/>
    <s v="Backpack"/>
    <x v="3"/>
    <x v="1"/>
    <n v="19"/>
    <n v="1300"/>
    <x v="1"/>
    <n v="24700"/>
    <m/>
    <m/>
    <m/>
    <x v="0"/>
    <m/>
    <m/>
  </r>
  <r>
    <s v="17-05-2026"/>
    <s v="Pen Set"/>
    <x v="2"/>
    <x v="4"/>
    <n v="22"/>
    <n v="-50"/>
    <x v="2"/>
    <n v="-1100"/>
    <m/>
    <m/>
    <m/>
    <x v="0"/>
    <m/>
    <m/>
  </r>
  <r>
    <s v="18-05-2026"/>
    <s v="Laptop"/>
    <x v="1"/>
    <x v="3"/>
    <n v="23"/>
    <n v="45200"/>
    <x v="1"/>
    <n v="1039600"/>
    <m/>
    <m/>
    <m/>
    <x v="1"/>
    <m/>
    <m/>
  </r>
  <r>
    <s v="18-05-2026"/>
    <s v="Keyboard"/>
    <x v="1"/>
    <x v="3"/>
    <n v="25"/>
    <n v="1200"/>
    <x v="3"/>
    <n v="30000"/>
    <m/>
    <m/>
    <m/>
    <x v="0"/>
    <m/>
    <m/>
  </r>
  <r>
    <s v="18-05-2026"/>
    <s v="Desk"/>
    <x v="0"/>
    <x v="4"/>
    <n v="10"/>
    <n v="7200"/>
    <x v="0"/>
    <n v="72000"/>
    <m/>
    <m/>
    <m/>
    <x v="1"/>
    <m/>
    <m/>
  </r>
  <r>
    <s v="18-05-2026"/>
    <s v="Notebook"/>
    <x v="2"/>
    <x v="3"/>
    <n v="3"/>
    <n v="250"/>
    <x v="2"/>
    <n v="750"/>
    <m/>
    <m/>
    <m/>
    <x v="0"/>
    <m/>
    <m/>
  </r>
  <r>
    <s v="20-05-2026"/>
    <s v="Monitor"/>
    <x v="1"/>
    <x v="4"/>
    <n v="8"/>
    <n v="9500"/>
    <x v="3"/>
    <n v="76000"/>
    <m/>
    <m/>
    <m/>
    <x v="1"/>
    <m/>
    <m/>
  </r>
  <r>
    <s v="23-05-2026"/>
    <s v="Bookshelf"/>
    <x v="0"/>
    <x v="1"/>
    <n v="15"/>
    <n v="4300"/>
    <x v="3"/>
    <n v="64500"/>
    <m/>
    <m/>
    <m/>
    <x v="1"/>
    <m/>
    <m/>
  </r>
  <r>
    <s v="24-05-2026"/>
    <s v="Keyboard"/>
    <x v="1"/>
    <x v="2"/>
    <n v="25"/>
    <n v="1700"/>
    <x v="3"/>
    <n v="42500"/>
    <m/>
    <m/>
    <m/>
    <x v="0"/>
    <m/>
    <m/>
  </r>
  <r>
    <s v="26-05-2026"/>
    <s v="Chair"/>
    <x v="0"/>
    <x v="4"/>
    <n v="7"/>
    <n v="3500"/>
    <x v="1"/>
    <n v="24500"/>
    <m/>
    <m/>
    <m/>
    <x v="0"/>
    <m/>
    <m/>
  </r>
  <r>
    <s v="26-05-2026"/>
    <s v="Desk"/>
    <x v="0"/>
    <x v="1"/>
    <n v="17"/>
    <n v="7200"/>
    <x v="3"/>
    <n v="122400"/>
    <m/>
    <m/>
    <m/>
    <x v="1"/>
    <m/>
    <m/>
  </r>
  <r>
    <s v="30-05-2026"/>
    <s v="Laptop"/>
    <x v="1"/>
    <x v="0"/>
    <n v="17"/>
    <n v="45000"/>
    <x v="2"/>
    <n v="765000"/>
    <m/>
    <m/>
    <m/>
    <x v="1"/>
    <m/>
    <m/>
  </r>
  <r>
    <s v="30-05-2026"/>
    <s v="Chair"/>
    <x v="0"/>
    <x v="1"/>
    <n v="23"/>
    <n v="3500"/>
    <x v="4"/>
    <n v="80500"/>
    <m/>
    <m/>
    <m/>
    <x v="1"/>
    <m/>
    <m/>
  </r>
  <r>
    <s v="31-05-2026"/>
    <s v="Bookshelf"/>
    <x v="0"/>
    <x v="3"/>
    <n v="4"/>
    <n v="4300"/>
    <x v="4"/>
    <n v="17200"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514FA-2829-4F17-877C-ACF70AF0E92B}" name="PivotTable1" cacheId="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0" firstHeaderRow="1" firstDataRow="2" firstDataCol="1"/>
  <pivotFields count="14">
    <pivotField compact="0" outline="0" showAll="0"/>
    <pivotField compact="0" outline="0" showAll="0"/>
    <pivotField axis="axisCol" compact="0" outline="0" showAll="0">
      <items count="5">
        <item x="3"/>
        <item x="1"/>
        <item x="0"/>
        <item x="2"/>
        <item t="default"/>
      </items>
    </pivotField>
    <pivotField compact="0" outline="0" showAll="0">
      <items count="6">
        <item x="1"/>
        <item x="4"/>
        <item x="0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4D46-A704-4EBA-81F5-3F017B8F3803}">
  <dimension ref="A3:F10"/>
  <sheetViews>
    <sheetView tabSelected="1" topLeftCell="A2" workbookViewId="0">
      <selection activeCell="Q6" sqref="Q6"/>
    </sheetView>
  </sheetViews>
  <sheetFormatPr defaultRowHeight="15"/>
  <cols>
    <col min="1" max="1" width="15.28515625" bestFit="1" customWidth="1"/>
    <col min="2" max="2" width="12" bestFit="1" customWidth="1"/>
    <col min="3" max="3" width="10.42578125" bestFit="1" customWidth="1"/>
    <col min="5" max="5" width="10.140625" bestFit="1" customWidth="1"/>
    <col min="6" max="6" width="11.42578125" bestFit="1" customWidth="1"/>
  </cols>
  <sheetData>
    <row r="3" spans="1:6">
      <c r="A3" s="2" t="s">
        <v>0</v>
      </c>
      <c r="B3" s="2" t="s">
        <v>1</v>
      </c>
    </row>
    <row r="4" spans="1:6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3"/>
      <c r="C5" s="3">
        <v>272300</v>
      </c>
      <c r="D5" s="3">
        <v>186900</v>
      </c>
      <c r="E5" s="3"/>
      <c r="F5" s="3">
        <v>459200</v>
      </c>
    </row>
    <row r="6" spans="1:6">
      <c r="A6" t="s">
        <v>9</v>
      </c>
      <c r="B6" s="3"/>
      <c r="C6" s="3">
        <v>83400</v>
      </c>
      <c r="D6" s="3">
        <v>238300</v>
      </c>
      <c r="E6" s="3">
        <v>24550</v>
      </c>
      <c r="F6" s="3">
        <v>346250</v>
      </c>
    </row>
    <row r="7" spans="1:6">
      <c r="A7" t="s">
        <v>10</v>
      </c>
      <c r="B7" s="3">
        <v>24700</v>
      </c>
      <c r="C7" s="3">
        <v>1193400</v>
      </c>
      <c r="D7" s="3">
        <v>166700</v>
      </c>
      <c r="E7" s="3">
        <v>13650</v>
      </c>
      <c r="F7" s="3">
        <v>1398450</v>
      </c>
    </row>
    <row r="8" spans="1:6">
      <c r="A8" t="s">
        <v>11</v>
      </c>
      <c r="B8" s="3"/>
      <c r="C8" s="3">
        <v>923400</v>
      </c>
      <c r="D8" s="3">
        <v>169700</v>
      </c>
      <c r="E8" s="3"/>
      <c r="F8" s="3">
        <v>1093100</v>
      </c>
    </row>
    <row r="9" spans="1:6">
      <c r="A9" t="s">
        <v>12</v>
      </c>
      <c r="B9" s="3"/>
      <c r="C9" s="3">
        <v>1100200</v>
      </c>
      <c r="D9" s="3">
        <v>208000</v>
      </c>
      <c r="E9" s="3">
        <v>2750</v>
      </c>
      <c r="F9" s="3">
        <v>1310950</v>
      </c>
    </row>
    <row r="10" spans="1:6">
      <c r="A10" t="s">
        <v>7</v>
      </c>
      <c r="B10" s="3">
        <v>24700</v>
      </c>
      <c r="C10" s="3">
        <v>3572700</v>
      </c>
      <c r="D10" s="3">
        <v>969600</v>
      </c>
      <c r="E10" s="3">
        <v>40950</v>
      </c>
      <c r="F10" s="3">
        <v>4607950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B1" workbookViewId="0">
      <pane ySplit="1" topLeftCell="A32" activePane="bottomLeft" state="frozen"/>
      <selection pane="bottomLeft" sqref="A1:N51"/>
    </sheetView>
  </sheetViews>
  <sheetFormatPr defaultRowHeight="14.45"/>
  <cols>
    <col min="1" max="2" width="12" customWidth="1"/>
    <col min="3" max="3" width="13" customWidth="1"/>
    <col min="4" max="4" width="12" customWidth="1"/>
    <col min="5" max="5" width="11" customWidth="1"/>
    <col min="6" max="6" width="12" customWidth="1"/>
    <col min="7" max="7" width="14" customWidth="1"/>
    <col min="8" max="8" width="10" customWidth="1"/>
    <col min="10" max="10" width="8.85546875" customWidth="1"/>
    <col min="11" max="11" width="3.5703125" hidden="1" customWidth="1"/>
    <col min="12" max="12" width="22.5703125" customWidth="1"/>
    <col min="13" max="13" width="17.28515625" customWidth="1"/>
    <col min="14" max="14" width="12.85546875" customWidth="1"/>
  </cols>
  <sheetData>
    <row r="1" spans="1:14">
      <c r="A1" s="1" t="s">
        <v>13</v>
      </c>
      <c r="B1" s="1" t="s">
        <v>14</v>
      </c>
      <c r="C1" s="1" t="s">
        <v>1</v>
      </c>
      <c r="D1" s="1" t="s">
        <v>15</v>
      </c>
      <c r="E1" s="1" t="s">
        <v>16</v>
      </c>
      <c r="F1" s="1" t="s">
        <v>17</v>
      </c>
      <c r="G1" s="1" t="s">
        <v>2</v>
      </c>
      <c r="H1" s="1" t="s">
        <v>18</v>
      </c>
      <c r="J1" s="1" t="s">
        <v>19</v>
      </c>
      <c r="L1" s="1" t="s">
        <v>20</v>
      </c>
      <c r="M1" s="1" t="s">
        <v>21</v>
      </c>
      <c r="N1" s="1" t="s">
        <v>22</v>
      </c>
    </row>
    <row r="2" spans="1:14">
      <c r="A2" t="s">
        <v>23</v>
      </c>
      <c r="B2" t="s">
        <v>24</v>
      </c>
      <c r="C2" t="s">
        <v>5</v>
      </c>
      <c r="D2" t="s">
        <v>25</v>
      </c>
      <c r="E2">
        <v>4</v>
      </c>
      <c r="F2">
        <v>4500</v>
      </c>
      <c r="G2" t="s">
        <v>9</v>
      </c>
      <c r="H2" cm="1">
        <f t="array" ref="H2:H52">E2:E52*F2:F52</f>
        <v>18000</v>
      </c>
      <c r="J2">
        <f>SUM(H2:H51)</f>
        <v>4607950</v>
      </c>
      <c r="L2" t="str">
        <f>IF(H2&gt;50000,"High","Low")</f>
        <v>Low</v>
      </c>
    </row>
    <row r="3" spans="1:14">
      <c r="A3" t="s">
        <v>23</v>
      </c>
      <c r="B3" t="s">
        <v>26</v>
      </c>
      <c r="C3" t="s">
        <v>4</v>
      </c>
      <c r="D3" t="s">
        <v>27</v>
      </c>
      <c r="E3">
        <v>1</v>
      </c>
      <c r="F3">
        <v>1400</v>
      </c>
      <c r="G3" t="s">
        <v>10</v>
      </c>
      <c r="H3">
        <v>1400</v>
      </c>
      <c r="L3" t="str">
        <f t="shared" ref="L3:L50" si="0">IF(H3&gt;50000,"High","Low")</f>
        <v>Low</v>
      </c>
    </row>
    <row r="4" spans="1:14">
      <c r="A4" t="s">
        <v>28</v>
      </c>
      <c r="B4" t="s">
        <v>26</v>
      </c>
      <c r="C4" t="s">
        <v>4</v>
      </c>
      <c r="D4" t="s">
        <v>29</v>
      </c>
      <c r="E4">
        <v>19</v>
      </c>
      <c r="F4">
        <v>1400</v>
      </c>
      <c r="G4" t="s">
        <v>9</v>
      </c>
      <c r="H4">
        <v>26600</v>
      </c>
      <c r="L4" t="str">
        <f t="shared" si="0"/>
        <v>Low</v>
      </c>
      <c r="M4">
        <f>SUMIF(D1:D51,"Chennai",H1:H51)</f>
        <v>639050</v>
      </c>
      <c r="N4">
        <f>COUNTIF(G1:G51,"Arun")</f>
        <v>8</v>
      </c>
    </row>
    <row r="5" spans="1:14">
      <c r="A5" t="s">
        <v>28</v>
      </c>
      <c r="B5" t="s">
        <v>30</v>
      </c>
      <c r="C5" t="s">
        <v>4</v>
      </c>
      <c r="D5" t="s">
        <v>25</v>
      </c>
      <c r="E5">
        <v>2</v>
      </c>
      <c r="F5">
        <v>44800</v>
      </c>
      <c r="G5" t="s">
        <v>12</v>
      </c>
      <c r="H5">
        <v>89600</v>
      </c>
      <c r="L5" t="str">
        <f t="shared" si="0"/>
        <v>High</v>
      </c>
    </row>
    <row r="6" spans="1:14">
      <c r="A6" t="s">
        <v>31</v>
      </c>
      <c r="B6" t="s">
        <v>24</v>
      </c>
      <c r="C6" t="s">
        <v>5</v>
      </c>
      <c r="D6" t="s">
        <v>27</v>
      </c>
      <c r="E6">
        <v>20</v>
      </c>
      <c r="F6">
        <v>4700</v>
      </c>
      <c r="G6" t="s">
        <v>12</v>
      </c>
      <c r="H6">
        <v>94000</v>
      </c>
      <c r="L6" t="str">
        <f t="shared" si="0"/>
        <v>High</v>
      </c>
    </row>
    <row r="7" spans="1:14">
      <c r="A7" t="s">
        <v>31</v>
      </c>
      <c r="B7" t="s">
        <v>32</v>
      </c>
      <c r="C7" t="s">
        <v>6</v>
      </c>
      <c r="D7" t="s">
        <v>33</v>
      </c>
      <c r="E7">
        <v>9</v>
      </c>
      <c r="F7">
        <v>350</v>
      </c>
      <c r="G7" t="s">
        <v>9</v>
      </c>
      <c r="H7">
        <v>3150</v>
      </c>
      <c r="L7" t="str">
        <f t="shared" si="0"/>
        <v>Low</v>
      </c>
    </row>
    <row r="8" spans="1:14">
      <c r="A8" t="s">
        <v>34</v>
      </c>
      <c r="B8" t="s">
        <v>35</v>
      </c>
      <c r="C8" t="s">
        <v>4</v>
      </c>
      <c r="D8" t="s">
        <v>29</v>
      </c>
      <c r="E8">
        <v>8</v>
      </c>
      <c r="F8">
        <v>8800</v>
      </c>
      <c r="G8" t="s">
        <v>8</v>
      </c>
      <c r="H8">
        <v>70400</v>
      </c>
      <c r="L8" t="str">
        <f t="shared" si="0"/>
        <v>High</v>
      </c>
    </row>
    <row r="9" spans="1:14">
      <c r="A9" t="s">
        <v>36</v>
      </c>
      <c r="B9" t="s">
        <v>24</v>
      </c>
      <c r="C9" t="s">
        <v>5</v>
      </c>
      <c r="D9" t="s">
        <v>37</v>
      </c>
      <c r="E9">
        <v>12</v>
      </c>
      <c r="F9">
        <v>4500</v>
      </c>
      <c r="G9" t="s">
        <v>12</v>
      </c>
      <c r="H9">
        <v>54000</v>
      </c>
      <c r="L9" t="str">
        <f t="shared" si="0"/>
        <v>High</v>
      </c>
    </row>
    <row r="10" spans="1:14">
      <c r="A10" t="s">
        <v>36</v>
      </c>
      <c r="B10" t="s">
        <v>32</v>
      </c>
      <c r="C10" t="s">
        <v>6</v>
      </c>
      <c r="D10" t="s">
        <v>25</v>
      </c>
      <c r="E10">
        <v>21</v>
      </c>
      <c r="F10">
        <v>650</v>
      </c>
      <c r="G10" t="s">
        <v>10</v>
      </c>
      <c r="H10">
        <v>13650</v>
      </c>
      <c r="L10" t="str">
        <f t="shared" si="0"/>
        <v>Low</v>
      </c>
    </row>
    <row r="11" spans="1:14">
      <c r="A11" t="s">
        <v>36</v>
      </c>
      <c r="B11" t="s">
        <v>35</v>
      </c>
      <c r="C11" t="s">
        <v>4</v>
      </c>
      <c r="D11" t="s">
        <v>37</v>
      </c>
      <c r="E11">
        <v>13</v>
      </c>
      <c r="F11">
        <v>9000</v>
      </c>
      <c r="G11" t="s">
        <v>11</v>
      </c>
      <c r="H11">
        <v>117000</v>
      </c>
      <c r="L11" t="str">
        <f t="shared" si="0"/>
        <v>High</v>
      </c>
    </row>
    <row r="12" spans="1:14">
      <c r="A12" t="s">
        <v>36</v>
      </c>
      <c r="B12" t="s">
        <v>38</v>
      </c>
      <c r="C12" t="s">
        <v>6</v>
      </c>
      <c r="D12" t="s">
        <v>37</v>
      </c>
      <c r="E12">
        <v>25</v>
      </c>
      <c r="F12">
        <v>550</v>
      </c>
      <c r="G12" t="s">
        <v>9</v>
      </c>
      <c r="H12">
        <v>13750</v>
      </c>
      <c r="L12" t="str">
        <f t="shared" si="0"/>
        <v>Low</v>
      </c>
    </row>
    <row r="13" spans="1:14">
      <c r="A13" t="s">
        <v>39</v>
      </c>
      <c r="B13" t="s">
        <v>35</v>
      </c>
      <c r="C13" t="s">
        <v>4</v>
      </c>
      <c r="D13" t="s">
        <v>37</v>
      </c>
      <c r="E13">
        <v>2</v>
      </c>
      <c r="F13">
        <v>9000</v>
      </c>
      <c r="G13" t="s">
        <v>10</v>
      </c>
      <c r="H13">
        <v>18000</v>
      </c>
      <c r="L13" t="str">
        <f t="shared" si="0"/>
        <v>Low</v>
      </c>
    </row>
    <row r="14" spans="1:14">
      <c r="A14" t="s">
        <v>40</v>
      </c>
      <c r="B14" t="s">
        <v>41</v>
      </c>
      <c r="C14" t="s">
        <v>5</v>
      </c>
      <c r="D14" t="s">
        <v>29</v>
      </c>
      <c r="E14">
        <v>20</v>
      </c>
      <c r="F14">
        <v>3000</v>
      </c>
      <c r="G14" t="s">
        <v>9</v>
      </c>
      <c r="H14">
        <v>60000</v>
      </c>
      <c r="L14" t="str">
        <f t="shared" si="0"/>
        <v>High</v>
      </c>
    </row>
    <row r="15" spans="1:14">
      <c r="A15" t="s">
        <v>40</v>
      </c>
      <c r="B15" t="s">
        <v>30</v>
      </c>
      <c r="C15" t="s">
        <v>4</v>
      </c>
      <c r="D15" t="s">
        <v>29</v>
      </c>
      <c r="E15">
        <v>1</v>
      </c>
      <c r="F15">
        <v>44800</v>
      </c>
      <c r="G15" t="s">
        <v>9</v>
      </c>
      <c r="H15">
        <v>44800</v>
      </c>
      <c r="L15" t="str">
        <f t="shared" si="0"/>
        <v>Low</v>
      </c>
    </row>
    <row r="16" spans="1:14">
      <c r="A16" t="s">
        <v>42</v>
      </c>
      <c r="B16" t="s">
        <v>24</v>
      </c>
      <c r="C16" t="s">
        <v>5</v>
      </c>
      <c r="D16" t="s">
        <v>37</v>
      </c>
      <c r="E16">
        <v>1</v>
      </c>
      <c r="F16">
        <v>4300</v>
      </c>
      <c r="G16" t="s">
        <v>9</v>
      </c>
      <c r="H16">
        <v>4300</v>
      </c>
      <c r="L16" t="str">
        <f t="shared" si="0"/>
        <v>Low</v>
      </c>
    </row>
    <row r="17" spans="1:12">
      <c r="A17" t="s">
        <v>43</v>
      </c>
      <c r="B17" t="s">
        <v>26</v>
      </c>
      <c r="C17" t="s">
        <v>4</v>
      </c>
      <c r="D17" t="s">
        <v>33</v>
      </c>
      <c r="E17">
        <v>22</v>
      </c>
      <c r="F17">
        <v>1400</v>
      </c>
      <c r="G17" t="s">
        <v>12</v>
      </c>
      <c r="H17">
        <v>30800</v>
      </c>
      <c r="L17" t="str">
        <f t="shared" si="0"/>
        <v>Low</v>
      </c>
    </row>
    <row r="18" spans="1:12">
      <c r="A18" t="s">
        <v>44</v>
      </c>
      <c r="B18" t="s">
        <v>45</v>
      </c>
      <c r="C18" t="s">
        <v>5</v>
      </c>
      <c r="D18" t="s">
        <v>27</v>
      </c>
      <c r="E18">
        <v>1</v>
      </c>
      <c r="F18">
        <v>6800</v>
      </c>
      <c r="G18" t="s">
        <v>10</v>
      </c>
      <c r="H18">
        <v>6800</v>
      </c>
      <c r="L18" t="str">
        <f t="shared" si="0"/>
        <v>Low</v>
      </c>
    </row>
    <row r="19" spans="1:12">
      <c r="A19" t="s">
        <v>44</v>
      </c>
      <c r="B19" t="s">
        <v>24</v>
      </c>
      <c r="C19" t="s">
        <v>5</v>
      </c>
      <c r="D19" t="s">
        <v>33</v>
      </c>
      <c r="E19">
        <v>18</v>
      </c>
      <c r="F19">
        <v>4500</v>
      </c>
      <c r="G19" t="s">
        <v>10</v>
      </c>
      <c r="H19">
        <v>81000</v>
      </c>
      <c r="L19" t="str">
        <f t="shared" si="0"/>
        <v>High</v>
      </c>
    </row>
    <row r="20" spans="1:12">
      <c r="A20" t="s">
        <v>46</v>
      </c>
      <c r="B20" t="s">
        <v>38</v>
      </c>
      <c r="C20" t="s">
        <v>6</v>
      </c>
      <c r="D20" t="s">
        <v>29</v>
      </c>
      <c r="E20">
        <v>6</v>
      </c>
      <c r="F20">
        <v>50</v>
      </c>
      <c r="G20" t="s">
        <v>12</v>
      </c>
      <c r="H20">
        <v>300</v>
      </c>
      <c r="L20" t="str">
        <f t="shared" si="0"/>
        <v>Low</v>
      </c>
    </row>
    <row r="21" spans="1:12">
      <c r="A21" t="s">
        <v>47</v>
      </c>
      <c r="B21" t="s">
        <v>35</v>
      </c>
      <c r="C21" t="s">
        <v>4</v>
      </c>
      <c r="D21" t="s">
        <v>25</v>
      </c>
      <c r="E21">
        <v>7</v>
      </c>
      <c r="F21">
        <v>8800</v>
      </c>
      <c r="G21" t="s">
        <v>12</v>
      </c>
      <c r="H21">
        <v>61600</v>
      </c>
      <c r="L21" t="str">
        <f t="shared" si="0"/>
        <v>High</v>
      </c>
    </row>
    <row r="22" spans="1:12">
      <c r="A22" t="s">
        <v>48</v>
      </c>
      <c r="B22" t="s">
        <v>49</v>
      </c>
      <c r="C22" t="s">
        <v>4</v>
      </c>
      <c r="D22" t="s">
        <v>37</v>
      </c>
      <c r="E22">
        <v>24</v>
      </c>
      <c r="F22">
        <v>500</v>
      </c>
      <c r="G22" t="s">
        <v>9</v>
      </c>
      <c r="H22">
        <v>12000</v>
      </c>
      <c r="L22" t="str">
        <f t="shared" si="0"/>
        <v>Low</v>
      </c>
    </row>
    <row r="23" spans="1:12">
      <c r="A23" t="s">
        <v>48</v>
      </c>
      <c r="B23" t="s">
        <v>45</v>
      </c>
      <c r="C23" t="s">
        <v>5</v>
      </c>
      <c r="D23" t="s">
        <v>33</v>
      </c>
      <c r="E23">
        <v>12</v>
      </c>
      <c r="F23">
        <v>7000</v>
      </c>
      <c r="G23" t="s">
        <v>9</v>
      </c>
      <c r="H23">
        <v>84000</v>
      </c>
      <c r="L23" t="str">
        <f t="shared" si="0"/>
        <v>High</v>
      </c>
    </row>
    <row r="24" spans="1:12">
      <c r="A24" t="s">
        <v>50</v>
      </c>
      <c r="B24" t="s">
        <v>24</v>
      </c>
      <c r="C24" t="s">
        <v>5</v>
      </c>
      <c r="D24" t="s">
        <v>27</v>
      </c>
      <c r="E24">
        <v>16</v>
      </c>
      <c r="F24">
        <v>4500</v>
      </c>
      <c r="G24" t="s">
        <v>11</v>
      </c>
      <c r="H24">
        <v>72000</v>
      </c>
      <c r="L24" t="str">
        <f t="shared" si="0"/>
        <v>High</v>
      </c>
    </row>
    <row r="25" spans="1:12">
      <c r="A25" t="s">
        <v>51</v>
      </c>
      <c r="B25" t="s">
        <v>41</v>
      </c>
      <c r="C25" t="s">
        <v>5</v>
      </c>
      <c r="D25" t="s">
        <v>37</v>
      </c>
      <c r="E25">
        <v>20</v>
      </c>
      <c r="F25">
        <v>3000</v>
      </c>
      <c r="G25" t="s">
        <v>12</v>
      </c>
      <c r="H25">
        <v>60000</v>
      </c>
      <c r="L25" t="str">
        <f t="shared" si="0"/>
        <v>High</v>
      </c>
    </row>
    <row r="26" spans="1:12">
      <c r="A26" t="s">
        <v>52</v>
      </c>
      <c r="B26" t="s">
        <v>32</v>
      </c>
      <c r="C26" t="s">
        <v>6</v>
      </c>
      <c r="D26" t="s">
        <v>27</v>
      </c>
      <c r="E26">
        <v>5</v>
      </c>
      <c r="F26">
        <v>350</v>
      </c>
      <c r="G26" t="s">
        <v>9</v>
      </c>
      <c r="H26">
        <v>1750</v>
      </c>
      <c r="L26" t="str">
        <f t="shared" si="0"/>
        <v>Low</v>
      </c>
    </row>
    <row r="27" spans="1:12">
      <c r="A27" t="s">
        <v>53</v>
      </c>
      <c r="B27" t="s">
        <v>38</v>
      </c>
      <c r="C27" t="s">
        <v>6</v>
      </c>
      <c r="D27" t="s">
        <v>27</v>
      </c>
      <c r="E27">
        <v>21</v>
      </c>
      <c r="F27">
        <v>250</v>
      </c>
      <c r="G27" t="s">
        <v>9</v>
      </c>
      <c r="H27">
        <v>5250</v>
      </c>
      <c r="L27" t="str">
        <f t="shared" si="0"/>
        <v>Low</v>
      </c>
    </row>
    <row r="28" spans="1:12">
      <c r="A28" t="s">
        <v>54</v>
      </c>
      <c r="B28" t="s">
        <v>26</v>
      </c>
      <c r="C28" t="s">
        <v>4</v>
      </c>
      <c r="D28" t="s">
        <v>37</v>
      </c>
      <c r="E28">
        <v>22</v>
      </c>
      <c r="F28">
        <v>1700</v>
      </c>
      <c r="G28" t="s">
        <v>8</v>
      </c>
      <c r="H28">
        <v>37400</v>
      </c>
      <c r="L28" t="str">
        <f t="shared" si="0"/>
        <v>Low</v>
      </c>
    </row>
    <row r="29" spans="1:12">
      <c r="A29" t="s">
        <v>54</v>
      </c>
      <c r="B29" t="s">
        <v>32</v>
      </c>
      <c r="C29" t="s">
        <v>6</v>
      </c>
      <c r="D29" t="s">
        <v>29</v>
      </c>
      <c r="E29">
        <v>1</v>
      </c>
      <c r="F29">
        <v>650</v>
      </c>
      <c r="G29" t="s">
        <v>9</v>
      </c>
      <c r="H29">
        <v>650</v>
      </c>
      <c r="L29" t="str">
        <f t="shared" si="0"/>
        <v>Low</v>
      </c>
    </row>
    <row r="30" spans="1:12">
      <c r="A30" t="s">
        <v>54</v>
      </c>
      <c r="B30" t="s">
        <v>45</v>
      </c>
      <c r="C30" t="s">
        <v>5</v>
      </c>
      <c r="D30" t="s">
        <v>37</v>
      </c>
      <c r="E30">
        <v>8</v>
      </c>
      <c r="F30">
        <v>6800</v>
      </c>
      <c r="G30" t="s">
        <v>10</v>
      </c>
      <c r="H30">
        <v>54400</v>
      </c>
      <c r="L30" t="str">
        <f t="shared" si="0"/>
        <v>High</v>
      </c>
    </row>
    <row r="31" spans="1:12">
      <c r="A31" t="s">
        <v>54</v>
      </c>
      <c r="B31" t="s">
        <v>26</v>
      </c>
      <c r="C31" t="s">
        <v>4</v>
      </c>
      <c r="D31" t="s">
        <v>29</v>
      </c>
      <c r="E31">
        <v>16</v>
      </c>
      <c r="F31">
        <v>1000</v>
      </c>
      <c r="G31" t="s">
        <v>8</v>
      </c>
      <c r="H31">
        <v>16000</v>
      </c>
      <c r="L31" t="str">
        <f t="shared" si="0"/>
        <v>Low</v>
      </c>
    </row>
    <row r="32" spans="1:12">
      <c r="A32" t="s">
        <v>55</v>
      </c>
      <c r="B32" t="s">
        <v>32</v>
      </c>
      <c r="C32" t="s">
        <v>6</v>
      </c>
      <c r="D32" t="s">
        <v>27</v>
      </c>
      <c r="E32">
        <v>8</v>
      </c>
      <c r="F32">
        <v>350</v>
      </c>
      <c r="G32" t="s">
        <v>12</v>
      </c>
      <c r="H32">
        <v>2800</v>
      </c>
      <c r="L32" t="str">
        <f t="shared" si="0"/>
        <v>Low</v>
      </c>
    </row>
    <row r="33" spans="1:12">
      <c r="A33" t="s">
        <v>55</v>
      </c>
      <c r="B33" t="s">
        <v>30</v>
      </c>
      <c r="C33" t="s">
        <v>4</v>
      </c>
      <c r="D33" t="s">
        <v>33</v>
      </c>
      <c r="E33">
        <v>3</v>
      </c>
      <c r="F33">
        <v>44800</v>
      </c>
      <c r="G33" t="s">
        <v>10</v>
      </c>
      <c r="H33">
        <v>134400</v>
      </c>
      <c r="L33" t="str">
        <f t="shared" si="0"/>
        <v>High</v>
      </c>
    </row>
    <row r="34" spans="1:12">
      <c r="A34" t="s">
        <v>56</v>
      </c>
      <c r="B34" t="s">
        <v>26</v>
      </c>
      <c r="C34" t="s">
        <v>4</v>
      </c>
      <c r="D34" t="s">
        <v>27</v>
      </c>
      <c r="E34">
        <v>13</v>
      </c>
      <c r="F34">
        <v>1200</v>
      </c>
      <c r="G34" t="s">
        <v>12</v>
      </c>
      <c r="H34">
        <v>15600</v>
      </c>
      <c r="L34" t="str">
        <f t="shared" si="0"/>
        <v>Low</v>
      </c>
    </row>
    <row r="35" spans="1:12">
      <c r="A35" t="s">
        <v>56</v>
      </c>
      <c r="B35" t="s">
        <v>35</v>
      </c>
      <c r="C35" t="s">
        <v>4</v>
      </c>
      <c r="D35" t="s">
        <v>37</v>
      </c>
      <c r="E35">
        <v>11</v>
      </c>
      <c r="F35">
        <v>8800</v>
      </c>
      <c r="G35" t="s">
        <v>12</v>
      </c>
      <c r="H35">
        <v>96800</v>
      </c>
      <c r="L35" t="str">
        <f t="shared" si="0"/>
        <v>High</v>
      </c>
    </row>
    <row r="36" spans="1:12">
      <c r="A36" t="s">
        <v>57</v>
      </c>
      <c r="B36" t="s">
        <v>30</v>
      </c>
      <c r="C36" t="s">
        <v>4</v>
      </c>
      <c r="D36" t="s">
        <v>27</v>
      </c>
      <c r="E36">
        <v>18</v>
      </c>
      <c r="F36">
        <v>44800</v>
      </c>
      <c r="G36" t="s">
        <v>11</v>
      </c>
      <c r="H36">
        <v>806400</v>
      </c>
      <c r="L36" t="str">
        <f t="shared" si="0"/>
        <v>High</v>
      </c>
    </row>
    <row r="37" spans="1:12">
      <c r="A37" t="s">
        <v>57</v>
      </c>
      <c r="B37" t="s">
        <v>26</v>
      </c>
      <c r="C37" t="s">
        <v>4</v>
      </c>
      <c r="D37" t="s">
        <v>33</v>
      </c>
      <c r="E37">
        <v>24</v>
      </c>
      <c r="F37">
        <v>1700</v>
      </c>
      <c r="G37" t="s">
        <v>12</v>
      </c>
      <c r="H37">
        <v>40800</v>
      </c>
      <c r="L37" t="str">
        <f t="shared" si="0"/>
        <v>Low</v>
      </c>
    </row>
    <row r="38" spans="1:12">
      <c r="A38" t="s">
        <v>57</v>
      </c>
      <c r="B38" t="s">
        <v>58</v>
      </c>
      <c r="C38" t="s">
        <v>3</v>
      </c>
      <c r="D38" t="s">
        <v>27</v>
      </c>
      <c r="E38">
        <v>19</v>
      </c>
      <c r="F38">
        <v>1300</v>
      </c>
      <c r="G38" t="s">
        <v>10</v>
      </c>
      <c r="H38">
        <v>24700</v>
      </c>
      <c r="L38" t="str">
        <f t="shared" si="0"/>
        <v>Low</v>
      </c>
    </row>
    <row r="39" spans="1:12">
      <c r="A39" t="s">
        <v>57</v>
      </c>
      <c r="B39" t="s">
        <v>32</v>
      </c>
      <c r="C39" t="s">
        <v>6</v>
      </c>
      <c r="D39" t="s">
        <v>37</v>
      </c>
      <c r="E39">
        <v>22</v>
      </c>
      <c r="F39">
        <v>-50</v>
      </c>
      <c r="G39" t="s">
        <v>12</v>
      </c>
      <c r="H39">
        <v>-1100</v>
      </c>
      <c r="L39" t="str">
        <f t="shared" si="0"/>
        <v>Low</v>
      </c>
    </row>
    <row r="40" spans="1:12">
      <c r="A40" t="s">
        <v>59</v>
      </c>
      <c r="B40" t="s">
        <v>30</v>
      </c>
      <c r="C40" t="s">
        <v>4</v>
      </c>
      <c r="D40" t="s">
        <v>33</v>
      </c>
      <c r="E40">
        <v>23</v>
      </c>
      <c r="F40">
        <v>45200</v>
      </c>
      <c r="G40" t="s">
        <v>10</v>
      </c>
      <c r="H40">
        <v>1039600</v>
      </c>
      <c r="L40" t="str">
        <f t="shared" si="0"/>
        <v>High</v>
      </c>
    </row>
    <row r="41" spans="1:12">
      <c r="A41" t="s">
        <v>59</v>
      </c>
      <c r="B41" t="s">
        <v>26</v>
      </c>
      <c r="C41" t="s">
        <v>4</v>
      </c>
      <c r="D41" t="s">
        <v>33</v>
      </c>
      <c r="E41">
        <v>25</v>
      </c>
      <c r="F41">
        <v>1200</v>
      </c>
      <c r="G41" t="s">
        <v>8</v>
      </c>
      <c r="H41">
        <v>30000</v>
      </c>
      <c r="L41" t="str">
        <f t="shared" si="0"/>
        <v>Low</v>
      </c>
    </row>
    <row r="42" spans="1:12">
      <c r="A42" t="s">
        <v>59</v>
      </c>
      <c r="B42" t="s">
        <v>45</v>
      </c>
      <c r="C42" t="s">
        <v>5</v>
      </c>
      <c r="D42" t="s">
        <v>37</v>
      </c>
      <c r="E42">
        <v>10</v>
      </c>
      <c r="F42">
        <v>7200</v>
      </c>
      <c r="G42" t="s">
        <v>9</v>
      </c>
      <c r="H42">
        <v>72000</v>
      </c>
      <c r="L42" t="str">
        <f t="shared" si="0"/>
        <v>High</v>
      </c>
    </row>
    <row r="43" spans="1:12">
      <c r="A43" t="s">
        <v>59</v>
      </c>
      <c r="B43" t="s">
        <v>38</v>
      </c>
      <c r="C43" t="s">
        <v>6</v>
      </c>
      <c r="D43" t="s">
        <v>33</v>
      </c>
      <c r="E43">
        <v>3</v>
      </c>
      <c r="F43">
        <v>250</v>
      </c>
      <c r="G43" t="s">
        <v>12</v>
      </c>
      <c r="H43">
        <v>750</v>
      </c>
      <c r="L43" t="str">
        <f t="shared" si="0"/>
        <v>Low</v>
      </c>
    </row>
    <row r="44" spans="1:12">
      <c r="A44" t="s">
        <v>60</v>
      </c>
      <c r="B44" t="s">
        <v>35</v>
      </c>
      <c r="C44" t="s">
        <v>4</v>
      </c>
      <c r="D44" t="s">
        <v>37</v>
      </c>
      <c r="E44">
        <v>8</v>
      </c>
      <c r="F44">
        <v>9500</v>
      </c>
      <c r="G44" t="s">
        <v>8</v>
      </c>
      <c r="H44">
        <v>76000</v>
      </c>
      <c r="L44" t="str">
        <f t="shared" si="0"/>
        <v>High</v>
      </c>
    </row>
    <row r="45" spans="1:12">
      <c r="A45" t="s">
        <v>61</v>
      </c>
      <c r="B45" t="s">
        <v>24</v>
      </c>
      <c r="C45" t="s">
        <v>5</v>
      </c>
      <c r="D45" t="s">
        <v>27</v>
      </c>
      <c r="E45">
        <v>15</v>
      </c>
      <c r="F45">
        <v>4300</v>
      </c>
      <c r="G45" t="s">
        <v>8</v>
      </c>
      <c r="H45">
        <v>64500</v>
      </c>
      <c r="L45" t="str">
        <f t="shared" si="0"/>
        <v>High</v>
      </c>
    </row>
    <row r="46" spans="1:12">
      <c r="A46" t="s">
        <v>62</v>
      </c>
      <c r="B46" t="s">
        <v>26</v>
      </c>
      <c r="C46" t="s">
        <v>4</v>
      </c>
      <c r="D46" t="s">
        <v>29</v>
      </c>
      <c r="E46">
        <v>25</v>
      </c>
      <c r="F46">
        <v>1700</v>
      </c>
      <c r="G46" t="s">
        <v>8</v>
      </c>
      <c r="H46">
        <v>42500</v>
      </c>
      <c r="L46" t="str">
        <f t="shared" si="0"/>
        <v>Low</v>
      </c>
    </row>
    <row r="47" spans="1:12">
      <c r="A47" t="s">
        <v>63</v>
      </c>
      <c r="B47" t="s">
        <v>41</v>
      </c>
      <c r="C47" t="s">
        <v>5</v>
      </c>
      <c r="D47" t="s">
        <v>37</v>
      </c>
      <c r="E47">
        <v>7</v>
      </c>
      <c r="F47">
        <v>3500</v>
      </c>
      <c r="G47" t="s">
        <v>10</v>
      </c>
      <c r="H47">
        <v>24500</v>
      </c>
      <c r="L47" t="str">
        <f t="shared" si="0"/>
        <v>Low</v>
      </c>
    </row>
    <row r="48" spans="1:12">
      <c r="A48" t="s">
        <v>63</v>
      </c>
      <c r="B48" t="s">
        <v>45</v>
      </c>
      <c r="C48" t="s">
        <v>5</v>
      </c>
      <c r="D48" t="s">
        <v>27</v>
      </c>
      <c r="E48">
        <v>17</v>
      </c>
      <c r="F48">
        <v>7200</v>
      </c>
      <c r="G48" t="s">
        <v>8</v>
      </c>
      <c r="H48">
        <v>122400</v>
      </c>
      <c r="L48" t="str">
        <f t="shared" si="0"/>
        <v>High</v>
      </c>
    </row>
    <row r="49" spans="1:12">
      <c r="A49" t="s">
        <v>64</v>
      </c>
      <c r="B49" t="s">
        <v>30</v>
      </c>
      <c r="C49" t="s">
        <v>4</v>
      </c>
      <c r="D49" t="s">
        <v>25</v>
      </c>
      <c r="E49">
        <v>17</v>
      </c>
      <c r="F49">
        <v>45000</v>
      </c>
      <c r="G49" t="s">
        <v>12</v>
      </c>
      <c r="H49">
        <v>765000</v>
      </c>
      <c r="L49" t="str">
        <f t="shared" si="0"/>
        <v>High</v>
      </c>
    </row>
    <row r="50" spans="1:12">
      <c r="A50" t="s">
        <v>64</v>
      </c>
      <c r="B50" t="s">
        <v>41</v>
      </c>
      <c r="C50" t="s">
        <v>5</v>
      </c>
      <c r="D50" t="s">
        <v>27</v>
      </c>
      <c r="E50">
        <v>23</v>
      </c>
      <c r="F50">
        <v>3500</v>
      </c>
      <c r="G50" t="s">
        <v>11</v>
      </c>
      <c r="H50">
        <v>80500</v>
      </c>
      <c r="L50" t="str">
        <f t="shared" si="0"/>
        <v>High</v>
      </c>
    </row>
    <row r="51" spans="1:12">
      <c r="A51" t="s">
        <v>65</v>
      </c>
      <c r="B51" t="s">
        <v>24</v>
      </c>
      <c r="C51" t="s">
        <v>5</v>
      </c>
      <c r="D51" t="s">
        <v>33</v>
      </c>
      <c r="E51">
        <v>4</v>
      </c>
      <c r="F51">
        <v>4300</v>
      </c>
      <c r="G51" t="s">
        <v>11</v>
      </c>
      <c r="H51">
        <v>17200</v>
      </c>
    </row>
    <row r="52" spans="1:12">
      <c r="H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2026-06-18T04:57:26Z</dcterms:created>
  <dcterms:modified xsi:type="dcterms:W3CDTF">2026-06-18T10:03:36Z</dcterms:modified>
  <cp:category/>
  <cp:contentStatus/>
</cp:coreProperties>
</file>